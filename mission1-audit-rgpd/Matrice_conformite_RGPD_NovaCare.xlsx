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de conformité" sheetId="1" state="visible" r:id="rId3"/>
    <sheet name="Légen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<sst xmlns="http://schemas.openxmlformats.org/spreadsheetml/2006/main" count="75" uniqueCount="73">
  <si>
    <t xml:space="preserve">NovaCare Logistics : matrice de conformité RGPD</t>
  </si>
  <si>
    <t xml:space="preserve">Mission 1 : audit RGPD. Gravité : 1 = faible, 2 = moyenne, 3 = élevée (voir l'onglet Légende).</t>
  </si>
  <si>
    <t xml:space="preserve">N°</t>
  </si>
  <si>
    <t xml:space="preserve">Risque identifié</t>
  </si>
  <si>
    <t xml:space="preserve">Système concerné</t>
  </si>
  <si>
    <t xml:space="preserve">Exigence RGPD (article)</t>
  </si>
  <si>
    <t xml:space="preserve">Gravité (1-3)</t>
  </si>
  <si>
    <t xml:space="preserve">Niveau</t>
  </si>
  <si>
    <t xml:space="preserve">Mesure corrective</t>
  </si>
  <si>
    <t xml:space="preserve">Responsable</t>
  </si>
  <si>
    <t xml:space="preserve">Échéance</t>
  </si>
  <si>
    <t xml:space="preserve">Absence d'analyse d'impact (AIPD) alors que NovaCare traite des données de santé à grande échelle et fait du profilage par IA</t>
  </si>
  <si>
    <t xml:space="preserve">Application santé, IA comportementale</t>
  </si>
  <si>
    <t xml:space="preserve">Art. 35 RGPD : AIPD obligatoire pour les traitements susceptibles d'engendrer un risque élevé (données sensibles à grande échelle, profilage). Liste CNIL des traitements soumis à AIPD.</t>
  </si>
  <si>
    <t xml:space="preserve">Réaliser une AIPD avec le DPO (méthode PIA de la CNIL) avant toute poursuite du traitement par l'IA ; consulter la CNIL (art. 36) si le risque résiduel reste élevé.</t>
  </si>
  <si>
    <t xml:space="preserve">DPO + responsable produit</t>
  </si>
  <si>
    <t xml:space="preserve">1 mois</t>
  </si>
  <si>
    <t xml:space="preserve">Fuite de données de santé non maîtrisée : risque de non-notification dans les délais et d'absence de mesures de sécurité suffisantes</t>
  </si>
  <si>
    <t xml:space="preserve">Application santé, cloud américain</t>
  </si>
  <si>
    <t xml:space="preserve">Art. 32 (sécurité du traitement), art. 33 (notification à la CNIL sous 72 h) et art. 34 (information des personnes concernées si risque élevé).</t>
  </si>
  <si>
    <t xml:space="preserve">Notifier la CNIL et informer les patients ; documenter la violation dans un registre ; chiffrer les données au repos et en transit, MFA, journalisation, test d'intrusion.</t>
  </si>
  <si>
    <t xml:space="preserve">RSSI + DPO</t>
  </si>
  <si>
    <t xml:space="preserve">Immédiat (72 h)</t>
  </si>
  <si>
    <t xml:space="preserve">Transferts internationaux non documentés vers les États-Unis (cloud, CRM) et Singapour (support informatique)</t>
  </si>
  <si>
    <t xml:space="preserve">Cloud américain, CRM américain, support Singapour</t>
  </si>
  <si>
    <t xml:space="preserve">Chapitre V, art. 44 à 49 : transfert hors UE possible seulement avec décision d'adéquation (art. 45, ex. Data Privacy Framework pour les sociétés certifiées) ou garanties appropriées (art. 46, clauses contractuelles types).</t>
  </si>
  <si>
    <t xml:space="preserve">Cartographier tous les flux ; vérifier la certification DPF des prestataires US ; signer des clauses contractuelles types avec le prestataire de Singapour ; réaliser une analyse d'impact des transferts (TIA).</t>
  </si>
  <si>
    <t xml:space="preserve">DPO + juridique</t>
  </si>
  <si>
    <t xml:space="preserve">2 mois</t>
  </si>
  <si>
    <t xml:space="preserve">Hébergement des données de santé chez un prestataire non certifié HDS</t>
  </si>
  <si>
    <t xml:space="preserve">Cloud américain, application santé</t>
  </si>
  <si>
    <t xml:space="preserve">Art. 9 (données de santé = catégorie particulière) et art. 32 ; en droit français, certification HDS obligatoire pour héberger des données de santé (art. L.1111-8 du Code de la santé publique).</t>
  </si>
  <si>
    <t xml:space="preserve">Migrer les données de santé vers un hébergeur certifié HDS, situé dans l'UE, avec un contrat d'hébergement conforme ; prévoir un plan de réversibilité.</t>
  </si>
  <si>
    <t xml:space="preserve">DSI</t>
  </si>
  <si>
    <t xml:space="preserve">6 mois</t>
  </si>
  <si>
    <t xml:space="preserve">Profilage des patients par l'IA sans base légale claire, sans information et sans intervention humaine</t>
  </si>
  <si>
    <t xml:space="preserve">IA comportementale</t>
  </si>
  <si>
    <t xml:space="preserve">Art. 9 (base légale spécifique pour données sensibles), art. 22 (décision fondée exclusivement sur un traitement automatisé), art. 5.1.c (minimisation), art. 13-14 (information).</t>
  </si>
  <si>
    <t xml:space="preserve">Définir la base légale (consentement explicite ou finalité de soins) ; garantir une validation humaine des résultats ; minimiser et pseudonymiser les données d'entraînement ; informer les patients.</t>
  </si>
  <si>
    <t xml:space="preserve">DPO + data scientists</t>
  </si>
  <si>
    <t xml:space="preserve">3 mois</t>
  </si>
  <si>
    <t xml:space="preserve">Support informatique à Singapour accédant aux données sans contrat de sous-traitance encadré</t>
  </si>
  <si>
    <t xml:space="preserve">Support Singapour</t>
  </si>
  <si>
    <t xml:space="preserve">Art. 28 : contrat de sous-traitance obligatoire (instructions documentées, confidentialité, sécurité, audit, sort des données).</t>
  </si>
  <si>
    <t xml:space="preserve">Signer un contrat art. 28 ; limiter les accès au strict besoin (moindre privilège), accès à distance journalisés, données pseudonymisées par défaut.</t>
  </si>
  <si>
    <t xml:space="preserve">Achats + DPO</t>
  </si>
  <si>
    <t xml:space="preserve">Registre des activités de traitement incomplet : traitements et transferts non recensés</t>
  </si>
  <si>
    <t xml:space="preserve">Toute l'organisation</t>
  </si>
  <si>
    <t xml:space="preserve">Art. 30 : tenue d'un registre des activités de traitement (finalités, catégories de données, destinataires, transferts hors UE, durées de conservation) ; art. 5.2 (responsabilité / accountability).</t>
  </si>
  <si>
    <t xml:space="preserve">Mettre à jour le registre avec chaque traitement (application, IA, CRM, support) et chaque transfert ; le revoir tous les 6 mois.</t>
  </si>
  <si>
    <t xml:space="preserve">DPO</t>
  </si>
  <si>
    <t xml:space="preserve">Synthèse</t>
  </si>
  <si>
    <t xml:space="preserve">Nombre de risques identifiés</t>
  </si>
  <si>
    <t xml:space="preserve">Risques de gravité élevée (3)</t>
  </si>
  <si>
    <t xml:space="preserve">Risques de gravité moyenne (2)</t>
  </si>
  <si>
    <t xml:space="preserve">Risques de gravité faible (1)</t>
  </si>
  <si>
    <t xml:space="preserve">Gravité moyenne</t>
  </si>
  <si>
    <t xml:space="preserve">Les valeurs de gravité (en bleu) sont des saisies : les colonnes Niveau et Synthèse se recalculent automatiquement.</t>
  </si>
  <si>
    <t xml:space="preserve">Légende et méthode</t>
  </si>
  <si>
    <t xml:space="preserve">Gravité 3 : élevée</t>
  </si>
  <si>
    <t xml:space="preserve">Données sensibles (santé) exposées ou traitées sans garantie ; sanction lourde possible (jusqu'à 20 M€ ou 4 % du CA mondial, art. 83).</t>
  </si>
  <si>
    <t xml:space="preserve">Gravité 2 : moyenne</t>
  </si>
  <si>
    <t xml:space="preserve">Non-conformité réelle mais impact limité ou corrigeable rapidement.</t>
  </si>
  <si>
    <t xml:space="preserve">Gravité 1 : faible</t>
  </si>
  <si>
    <t xml:space="preserve">Manque de documentation ou de formalisation, sans exposition directe des données.</t>
  </si>
  <si>
    <t xml:space="preserve">Saisies</t>
  </si>
  <si>
    <t xml:space="preserve">Texte bleu = valeur saisie à la main. Texte noir = formule.</t>
  </si>
  <si>
    <t xml:space="preserve">Contexte</t>
  </si>
  <si>
    <t xml:space="preserve">NovaCare Logistics : logistique médicale (France, États-Unis, Singapour) ; cloud américain, application de santé, IA d'analyse comportementale des patients, CRM américain, support informatique à Singapour.</t>
  </si>
  <si>
    <t xml:space="preserve">Problèmes détectés</t>
  </si>
  <si>
    <t xml:space="preserve">Absence d'analyse d'impact, fuite de données, transferts internationaux non documentés, hébergement médical non conforme.</t>
  </si>
  <si>
    <t xml:space="preserve">Références</t>
  </si>
  <si>
    <t xml:space="preserve">Règlement (UE) 2016/679 (RGPD) ; CNIL, guides PIA et transferts ; Code de la santé publique, art. L.1111-8 (HDS).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</si>
</sst>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6" min="5" style="0" width="10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72" hidden="false" customHeight="tru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6" t="n">
        <v>3</v>
      </c>
      <c r="F5" s="4" t="str">
        <f aca="false">IF(E5=3,"Élevé",IF(E5=2,"Moyen",IF(E5=1,"Faible","")))</f>
        <v>Élevé</v>
      </c>
      <c r="G5" s="5" t="s">
        <v>14</v>
      </c>
      <c r="H5" s="4" t="s">
        <v>15</v>
      </c>
      <c r="I5" s="4" t="s">
        <v>16</v>
      </c>
    </row>
    <row r="6" customFormat="false" ht="72" hidden="false" customHeight="true" outlineLevel="0" collapsed="false">
      <c r="A6" s="4" t="n">
        <v>2</v>
      </c>
      <c r="B6" s="5" t="s">
        <v>17</v>
      </c>
      <c r="C6" s="5" t="s">
        <v>18</v>
      </c>
      <c r="D6" s="5" t="s">
        <v>19</v>
      </c>
      <c r="E6" s="6" t="n">
        <v>3</v>
      </c>
      <c r="F6" s="4" t="str">
        <f aca="false">IF(E6=3,"Élevé",IF(E6=2,"Moyen",IF(E6=1,"Faible","")))</f>
        <v>Élevé</v>
      </c>
      <c r="G6" s="5" t="s">
        <v>20</v>
      </c>
      <c r="H6" s="4" t="s">
        <v>21</v>
      </c>
      <c r="I6" s="4" t="s">
        <v>22</v>
      </c>
    </row>
    <row r="7" customFormat="false" ht="72" hidden="false" customHeight="true" outlineLevel="0" collapsed="false">
      <c r="A7" s="4" t="n">
        <v>3</v>
      </c>
      <c r="B7" s="5" t="s">
        <v>23</v>
      </c>
      <c r="C7" s="5" t="s">
        <v>24</v>
      </c>
      <c r="D7" s="5" t="s">
        <v>25</v>
      </c>
      <c r="E7" s="6" t="n">
        <v>3</v>
      </c>
      <c r="F7" s="4" t="str">
        <f aca="false">IF(E7=3,"Élevé",IF(E7=2,"Moyen",IF(E7=1,"Faible","")))</f>
        <v>Élevé</v>
      </c>
      <c r="G7" s="5" t="s">
        <v>26</v>
      </c>
      <c r="H7" s="4" t="s">
        <v>27</v>
      </c>
      <c r="I7" s="4" t="s">
        <v>28</v>
      </c>
    </row>
    <row r="8" customFormat="false" ht="72" hidden="false" customHeight="true" outlineLevel="0" collapsed="false">
      <c r="A8" s="4" t="n">
        <v>4</v>
      </c>
      <c r="B8" s="5" t="s">
        <v>29</v>
      </c>
      <c r="C8" s="5" t="s">
        <v>30</v>
      </c>
      <c r="D8" s="5" t="s">
        <v>31</v>
      </c>
      <c r="E8" s="6" t="n">
        <v>3</v>
      </c>
      <c r="F8" s="4" t="str">
        <f aca="false">IF(E8=3,"Élevé",IF(E8=2,"Moyen",IF(E8=1,"Faible","")))</f>
        <v>Élevé</v>
      </c>
      <c r="G8" s="5" t="s">
        <v>32</v>
      </c>
      <c r="H8" s="4" t="s">
        <v>33</v>
      </c>
      <c r="I8" s="4" t="s">
        <v>34</v>
      </c>
    </row>
    <row r="9" customFormat="false" ht="72" hidden="false" customHeight="true" outlineLevel="0" collapsed="false">
      <c r="A9" s="4" t="n">
        <v>5</v>
      </c>
      <c r="B9" s="5" t="s">
        <v>35</v>
      </c>
      <c r="C9" s="5" t="s">
        <v>36</v>
      </c>
      <c r="D9" s="5" t="s">
        <v>37</v>
      </c>
      <c r="E9" s="6" t="n">
        <v>2</v>
      </c>
      <c r="F9" s="4" t="str">
        <f aca="false">IF(E9=3,"Élevé",IF(E9=2,"Moyen",IF(E9=1,"Faible","")))</f>
        <v>Moyen</v>
      </c>
      <c r="G9" s="5" t="s">
        <v>38</v>
      </c>
      <c r="H9" s="4" t="s">
        <v>39</v>
      </c>
      <c r="I9" s="4" t="s">
        <v>40</v>
      </c>
    </row>
    <row r="10" customFormat="false" ht="72" hidden="false" customHeight="true" outlineLevel="0" collapsed="false">
      <c r="A10" s="4" t="n">
        <v>6</v>
      </c>
      <c r="B10" s="5" t="s">
        <v>41</v>
      </c>
      <c r="C10" s="5" t="s">
        <v>42</v>
      </c>
      <c r="D10" s="5" t="s">
        <v>43</v>
      </c>
      <c r="E10" s="6" t="n">
        <v>2</v>
      </c>
      <c r="F10" s="4" t="str">
        <f aca="false">IF(E10=3,"Élevé",IF(E10=2,"Moyen",IF(E10=1,"Faible","")))</f>
        <v>Moyen</v>
      </c>
      <c r="G10" s="5" t="s">
        <v>44</v>
      </c>
      <c r="H10" s="4" t="s">
        <v>45</v>
      </c>
      <c r="I10" s="4" t="s">
        <v>28</v>
      </c>
    </row>
    <row r="11" customFormat="false" ht="72" hidden="false" customHeight="true" outlineLevel="0" collapsed="false">
      <c r="A11" s="4" t="n">
        <v>7</v>
      </c>
      <c r="B11" s="5" t="s">
        <v>46</v>
      </c>
      <c r="C11" s="5" t="s">
        <v>47</v>
      </c>
      <c r="D11" s="5" t="s">
        <v>48</v>
      </c>
      <c r="E11" s="6" t="n">
        <v>1</v>
      </c>
      <c r="F11" s="4" t="str">
        <f aca="false">IF(E11=3,"Élevé",IF(E11=2,"Moyen",IF(E11=1,"Faible","")))</f>
        <v>Faible</v>
      </c>
      <c r="G11" s="5" t="s">
        <v>49</v>
      </c>
      <c r="H11" s="4" t="s">
        <v>50</v>
      </c>
      <c r="I11" s="4" t="s">
        <v>16</v>
      </c>
    </row>
    <row r="13" customFormat="false" ht="15" hidden="false" customHeight="false" outlineLevel="0" collapsed="false">
      <c r="B13" s="7" t="s">
        <v>51</v>
      </c>
    </row>
    <row r="14" customFormat="false" ht="15" hidden="false" customHeight="false" outlineLevel="0" collapsed="false">
      <c r="B14" s="8" t="s">
        <v>52</v>
      </c>
      <c r="C14" s="9" t="n">
        <f aca="false">COUNTA(B5:B11)</f>
        <v>7</v>
      </c>
    </row>
    <row r="15" customFormat="false" ht="15" hidden="false" customHeight="false" outlineLevel="0" collapsed="false">
      <c r="B15" s="8" t="s">
        <v>53</v>
      </c>
      <c r="C15" s="9" t="n">
        <f aca="false">COUNTIF(E5:E11,3)</f>
        <v>4</v>
      </c>
    </row>
    <row r="16" customFormat="false" ht="15" hidden="false" customHeight="false" outlineLevel="0" collapsed="false">
      <c r="B16" s="8" t="s">
        <v>54</v>
      </c>
      <c r="C16" s="9" t="n">
        <f aca="false">COUNTIF(E5:E11,2)</f>
        <v>2</v>
      </c>
    </row>
    <row r="17" customFormat="false" ht="15" hidden="false" customHeight="false" outlineLevel="0" collapsed="false">
      <c r="B17" s="8" t="s">
        <v>55</v>
      </c>
      <c r="C17" s="9" t="n">
        <f aca="false">COUNTIF(E5:E11,1)</f>
        <v>1</v>
      </c>
    </row>
    <row r="18" customFormat="false" ht="15" hidden="false" customHeight="false" outlineLevel="0" collapsed="false">
      <c r="B18" s="8" t="s">
        <v>56</v>
      </c>
      <c r="C18" s="9" t="n">
        <f aca="false">ROUND(AVERAGE(E5:E11),1)</f>
        <v>2.4</v>
      </c>
    </row>
    <row r="20" customFormat="false" ht="15" hidden="false" customHeight="false" outlineLevel="0" collapsed="false">
      <c r="B20" s="10" t="s">
        <v>57</v>
      </c>
    </row>
  </sheetData>
  <conditionalFormatting sqref="F5:F11">
    <cfRule type="cellIs" priority="2" operator="equal" aboveAverage="0" equalAverage="0" bottom="0" percent="0" rank="0" text="" dxfId="0">
      <formula>"Élevé"</formula>
    </cfRule>
    <cfRule type="cellIs" priority="3" operator="equal" aboveAverage="0" equalAverage="0" bottom="0" percent="0" rank="0" text="" dxfId="1">
      <formula>"Moyen"</formula>
    </cfRule>
    <cfRule type="cellIs" priority="4" operator="equal" aboveAverage="0" equalAverage="0" bottom="0" percent="0" rank="0" text="" dxfId="2">
      <formula>"Faible"</formula>
    </cfRule>
  </conditionalFormatting>
  <dataValidations count="1">
    <dataValidation allowBlank="false" error="Saisir 1, 2 ou 3." errorStyle="stop" errorTitle="Gravité" operator="between" showDropDown="false" showErrorMessage="true" showInputMessage="false" sqref="E5:E11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58</v>
      </c>
    </row>
    <row r="3" customFormat="false" ht="45" hidden="false" customHeight="true" outlineLevel="0" collapsed="false">
      <c r="A3" s="11" t="s">
        <v>59</v>
      </c>
      <c r="B3" s="5" t="s">
        <v>60</v>
      </c>
    </row>
    <row r="4" customFormat="false" ht="45" hidden="false" customHeight="true" outlineLevel="0" collapsed="false">
      <c r="A4" s="11" t="s">
        <v>61</v>
      </c>
      <c r="B4" s="5" t="s">
        <v>62</v>
      </c>
    </row>
    <row r="5" customFormat="false" ht="45" hidden="false" customHeight="true" outlineLevel="0" collapsed="false">
      <c r="A5" s="11" t="s">
        <v>63</v>
      </c>
      <c r="B5" s="5" t="s">
        <v>64</v>
      </c>
    </row>
    <row r="6" customFormat="false" ht="45" hidden="false" customHeight="true" outlineLevel="0" collapsed="false">
      <c r="A6" s="11" t="s">
        <v>65</v>
      </c>
      <c r="B6" s="5" t="s">
        <v>66</v>
      </c>
    </row>
    <row r="7" customFormat="false" ht="45" hidden="false" customHeight="true" outlineLevel="0" collapsed="false">
      <c r="A7" s="11" t="s">
        <v>67</v>
      </c>
      <c r="B7" s="5" t="s">
        <v>68</v>
      </c>
    </row>
    <row r="8" customFormat="false" ht="45" hidden="false" customHeight="true" outlineLevel="0" collapsed="false">
      <c r="A8" s="11" t="s">
        <v>69</v>
      </c>
      <c r="B8" s="5" t="s">
        <v>70</v>
      </c>
    </row>
    <row r="9" customFormat="false" ht="45" hidden="false" customHeight="true" outlineLevel="0" collapsed="false">
      <c r="A9" s="11" t="s">
        <v>71</v>
      </c>
      <c r="B9" s="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2026-10-17T14:21:58Z</dcterms:created>
  <dc:creator>openpyxl</dc:creator>
  <dc:description/>
  <dc:language>en-US</dc:language>
  <cp:lastModifiedBy/>
  <dcterms:modified xsi:type="dcterms:W3CDTF">2026-10-17T14:21:58Z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